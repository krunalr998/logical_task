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ta Analytics\Excel\"/>
    </mc:Choice>
  </mc:AlternateContent>
  <xr:revisionPtr revIDLastSave="0" documentId="8_{FBD6914E-7C68-4976-A5B6-D43050E7BE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cal_Task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N10" i="1"/>
  <c r="N11" i="1"/>
  <c r="N12" i="1"/>
  <c r="N13" i="1"/>
  <c r="L5" i="1"/>
  <c r="M9" i="1"/>
  <c r="M10" i="1"/>
  <c r="M11" i="1"/>
  <c r="M12" i="1"/>
  <c r="M13" i="1"/>
  <c r="M8" i="1"/>
  <c r="L8" i="1"/>
  <c r="N8" i="1" s="1"/>
  <c r="L13" i="1" l="1"/>
  <c r="L12" i="1"/>
  <c r="L11" i="1"/>
  <c r="L10" i="1"/>
  <c r="L9" i="1"/>
</calcChain>
</file>

<file path=xl/sharedStrings.xml><?xml version="1.0" encoding="utf-8"?>
<sst xmlns="http://schemas.openxmlformats.org/spreadsheetml/2006/main" count="60" uniqueCount="48">
  <si>
    <t>seat_number</t>
  </si>
  <si>
    <t>seat_class</t>
  </si>
  <si>
    <t>ticket_number</t>
  </si>
  <si>
    <t>price</t>
  </si>
  <si>
    <t>from</t>
  </si>
  <si>
    <t>to</t>
  </si>
  <si>
    <t>company</t>
  </si>
  <si>
    <t>arrival_after_travel</t>
  </si>
  <si>
    <t>cust1</t>
  </si>
  <si>
    <t>P</t>
  </si>
  <si>
    <t>T-101</t>
  </si>
  <si>
    <t>NAGPUR</t>
  </si>
  <si>
    <t>DELHI</t>
  </si>
  <si>
    <t>20:00</t>
  </si>
  <si>
    <t>INDIGO</t>
  </si>
  <si>
    <t>cust2</t>
  </si>
  <si>
    <t>E</t>
  </si>
  <si>
    <t>T-102</t>
  </si>
  <si>
    <t>PUNE</t>
  </si>
  <si>
    <t>MUMBAI</t>
  </si>
  <si>
    <t>15:30</t>
  </si>
  <si>
    <t>AIR INDIA</t>
  </si>
  <si>
    <t>ARC_cust</t>
  </si>
  <si>
    <t>L</t>
  </si>
  <si>
    <t>T-103</t>
  </si>
  <si>
    <t>DUBAI</t>
  </si>
  <si>
    <t>08:10</t>
  </si>
  <si>
    <t>QATAR AIRLINES</t>
  </si>
  <si>
    <t>Vigo_cust</t>
  </si>
  <si>
    <t>T-104</t>
  </si>
  <si>
    <t>00:34</t>
  </si>
  <si>
    <t>arc2</t>
  </si>
  <si>
    <t>T-105</t>
  </si>
  <si>
    <t>HYDERABAD</t>
  </si>
  <si>
    <t>23:55</t>
  </si>
  <si>
    <t>DB_user1</t>
  </si>
  <si>
    <t>T-106</t>
  </si>
  <si>
    <t>12:05</t>
  </si>
  <si>
    <t>Budget</t>
  </si>
  <si>
    <t>20+budget</t>
  </si>
  <si>
    <t>Meeeting time</t>
  </si>
  <si>
    <t xml:space="preserve">Travel time </t>
  </si>
  <si>
    <t>30 minutes</t>
  </si>
  <si>
    <t>customer_name</t>
  </si>
  <si>
    <t>baggage_weight</t>
  </si>
  <si>
    <t>time</t>
  </si>
  <si>
    <t>meeting_is_possible/not</t>
  </si>
  <si>
    <t>within_budget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</si>
</sst>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1"/>
    <xf numFmtId="0" fontId="1" fillId="3" borderId="1" xfId="0" applyFont="1" applyFill="1" applyBorder="1"/>
    <xf numFmtId="0" fontId="0" fillId="2" borderId="1" xfId="0" applyFill="1" applyBorder="1"/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3"/>
  <sheetViews>
    <sheetView tabSelected="1" workbookViewId="0">
      <selection activeCell="L15" sqref="L15"/>
    </sheetView>
  </sheetViews>
  <sheetFormatPr defaultRowHeight="14.4" x14ac:dyDescent="0.3"/>
  <cols>
    <col min="2" max="2" width="12.109375" bestFit="1" customWidth="1"/>
    <col min="3" max="3" width="14.77734375" bestFit="1" customWidth="1"/>
    <col min="5" max="5" width="9.33203125" bestFit="1" customWidth="1"/>
    <col min="6" max="6" width="13.44140625" bestFit="1" customWidth="1"/>
    <col min="8" max="8" width="11.109375" bestFit="1" customWidth="1"/>
    <col min="9" max="10" width="12" bestFit="1" customWidth="1"/>
    <col min="11" max="12" width="17.21875" bestFit="1" customWidth="1"/>
    <col min="13" max="13" width="18.6640625" bestFit="1" customWidth="1"/>
    <col min="14" max="14" width="22" bestFit="1" customWidth="1"/>
  </cols>
  <sheetData>
    <row r="2" spans="2:14" x14ac:dyDescent="0.3">
      <c r="H2" t="s">
        <v>38</v>
      </c>
      <c r="I2">
        <v>60</v>
      </c>
    </row>
    <row r="3" spans="2:14" x14ac:dyDescent="0.3">
      <c r="H3" t="s">
        <v>39</v>
      </c>
      <c r="I3">
        <v>80</v>
      </c>
    </row>
    <row r="4" spans="2:14" x14ac:dyDescent="0.3">
      <c r="H4" t="s">
        <v>41</v>
      </c>
      <c r="I4" t="s">
        <v>42</v>
      </c>
    </row>
    <row r="5" spans="2:14" x14ac:dyDescent="0.3">
      <c r="K5" t="s">
        <v>40</v>
      </c>
      <c r="L5" s="1">
        <f>TIME(20,30,0)</f>
        <v>0.85416666666666663</v>
      </c>
    </row>
    <row r="7" spans="2:14" x14ac:dyDescent="0.3">
      <c r="B7" s="2" t="s">
        <v>0</v>
      </c>
      <c r="C7" s="2" t="s">
        <v>43</v>
      </c>
      <c r="D7" s="2" t="s">
        <v>44</v>
      </c>
      <c r="E7" s="2" t="s">
        <v>1</v>
      </c>
      <c r="F7" s="2" t="s">
        <v>2</v>
      </c>
      <c r="G7" s="2" t="s">
        <v>3</v>
      </c>
      <c r="H7" s="2" t="s">
        <v>4</v>
      </c>
      <c r="I7" s="2" t="s">
        <v>5</v>
      </c>
      <c r="J7" s="2" t="s">
        <v>45</v>
      </c>
      <c r="K7" s="2" t="s">
        <v>6</v>
      </c>
      <c r="L7" s="2" t="s">
        <v>7</v>
      </c>
      <c r="M7" s="2" t="s">
        <v>47</v>
      </c>
      <c r="N7" s="2" t="s">
        <v>46</v>
      </c>
    </row>
    <row r="8" spans="2:14" x14ac:dyDescent="0.3">
      <c r="B8" s="3">
        <v>101</v>
      </c>
      <c r="C8" s="3" t="s">
        <v>8</v>
      </c>
      <c r="D8" s="3">
        <v>20</v>
      </c>
      <c r="E8" s="3" t="s">
        <v>9</v>
      </c>
      <c r="F8" s="3" t="s">
        <v>10</v>
      </c>
      <c r="G8" s="3">
        <v>60</v>
      </c>
      <c r="H8" s="3" t="s">
        <v>11</v>
      </c>
      <c r="I8" s="3" t="s">
        <v>12</v>
      </c>
      <c r="J8" s="4" t="s">
        <v>13</v>
      </c>
      <c r="K8" s="3" t="s">
        <v>14</v>
      </c>
      <c r="L8" s="4">
        <f>J8+TIME(0,30,0)</f>
        <v>0.85416666666666674</v>
      </c>
      <c r="M8" s="3" t="str">
        <f>IF(G8&lt;=I$2,"Within Budget",IF(G8&lt;=I$3,"Budget Extended","Over Budget"))</f>
        <v>Within Budget</v>
      </c>
      <c r="N8" s="3" t="str">
        <f t="shared" ref="N8:N13" si="0">IF(AND(G8&lt;=80,L8&lt;L$5),"YES","NO")</f>
        <v>NO</v>
      </c>
    </row>
    <row r="9" spans="2:14" x14ac:dyDescent="0.3">
      <c r="B9" s="3">
        <v>102</v>
      </c>
      <c r="C9" s="3" t="s">
        <v>15</v>
      </c>
      <c r="D9" s="3">
        <v>30</v>
      </c>
      <c r="E9" s="3" t="s">
        <v>16</v>
      </c>
      <c r="F9" s="3" t="s">
        <v>17</v>
      </c>
      <c r="G9" s="3">
        <v>50</v>
      </c>
      <c r="H9" s="3" t="s">
        <v>18</v>
      </c>
      <c r="I9" s="3" t="s">
        <v>19</v>
      </c>
      <c r="J9" s="4" t="s">
        <v>20</v>
      </c>
      <c r="K9" s="3" t="s">
        <v>21</v>
      </c>
      <c r="L9" s="4">
        <f t="shared" ref="L9:L13" si="1">J9+TIME(0,30,0)</f>
        <v>0.66666666666666674</v>
      </c>
      <c r="M9" s="3" t="str">
        <f t="shared" ref="M9:M13" si="2">IF(G9&lt;=I$2,"Within Budget",IF(G9&lt;=I$3,"Budget Extended","Over Budget"))</f>
        <v>Within Budget</v>
      </c>
      <c r="N9" s="3" t="str">
        <f t="shared" si="0"/>
        <v>YES</v>
      </c>
    </row>
    <row r="10" spans="2:14" x14ac:dyDescent="0.3">
      <c r="B10" s="3">
        <v>103</v>
      </c>
      <c r="C10" s="3" t="s">
        <v>22</v>
      </c>
      <c r="D10" s="3">
        <v>50</v>
      </c>
      <c r="E10" s="3" t="s">
        <v>23</v>
      </c>
      <c r="F10" s="3" t="s">
        <v>24</v>
      </c>
      <c r="G10" s="3">
        <v>100</v>
      </c>
      <c r="H10" s="3" t="s">
        <v>11</v>
      </c>
      <c r="I10" s="3" t="s">
        <v>25</v>
      </c>
      <c r="J10" s="4" t="s">
        <v>26</v>
      </c>
      <c r="K10" s="3" t="s">
        <v>27</v>
      </c>
      <c r="L10" s="4">
        <f t="shared" si="1"/>
        <v>0.3611111111111111</v>
      </c>
      <c r="M10" s="3" t="str">
        <f t="shared" si="2"/>
        <v>Over Budget</v>
      </c>
      <c r="N10" s="3" t="str">
        <f t="shared" si="0"/>
        <v>NO</v>
      </c>
    </row>
    <row r="11" spans="2:14" x14ac:dyDescent="0.3">
      <c r="B11" s="3">
        <v>104</v>
      </c>
      <c r="C11" s="3" t="s">
        <v>28</v>
      </c>
      <c r="D11" s="3">
        <v>40</v>
      </c>
      <c r="E11" s="3" t="s">
        <v>23</v>
      </c>
      <c r="F11" s="3" t="s">
        <v>29</v>
      </c>
      <c r="G11" s="3">
        <v>120</v>
      </c>
      <c r="H11" s="3" t="s">
        <v>25</v>
      </c>
      <c r="I11" s="3" t="s">
        <v>19</v>
      </c>
      <c r="J11" s="4" t="s">
        <v>30</v>
      </c>
      <c r="K11" s="3" t="s">
        <v>27</v>
      </c>
      <c r="L11" s="4">
        <f t="shared" si="1"/>
        <v>4.4444444444444439E-2</v>
      </c>
      <c r="M11" s="3" t="str">
        <f t="shared" si="2"/>
        <v>Over Budget</v>
      </c>
      <c r="N11" s="3" t="str">
        <f t="shared" si="0"/>
        <v>NO</v>
      </c>
    </row>
    <row r="12" spans="2:14" x14ac:dyDescent="0.3">
      <c r="B12" s="3">
        <v>105</v>
      </c>
      <c r="C12" s="3" t="s">
        <v>31</v>
      </c>
      <c r="D12" s="3">
        <v>10</v>
      </c>
      <c r="E12" s="3" t="s">
        <v>16</v>
      </c>
      <c r="F12" s="3" t="s">
        <v>32</v>
      </c>
      <c r="G12" s="3">
        <v>30</v>
      </c>
      <c r="H12" s="3" t="s">
        <v>11</v>
      </c>
      <c r="I12" s="3" t="s">
        <v>33</v>
      </c>
      <c r="J12" s="4" t="s">
        <v>34</v>
      </c>
      <c r="K12" s="3" t="s">
        <v>14</v>
      </c>
      <c r="L12" s="4">
        <f t="shared" si="1"/>
        <v>1.0173611111111112</v>
      </c>
      <c r="M12" s="3" t="str">
        <f t="shared" si="2"/>
        <v>Within Budget</v>
      </c>
      <c r="N12" s="3" t="str">
        <f t="shared" si="0"/>
        <v>NO</v>
      </c>
    </row>
    <row r="13" spans="2:14" x14ac:dyDescent="0.3">
      <c r="B13" s="3">
        <v>106</v>
      </c>
      <c r="C13" s="3" t="s">
        <v>35</v>
      </c>
      <c r="D13" s="3">
        <v>30</v>
      </c>
      <c r="E13" s="3" t="s">
        <v>9</v>
      </c>
      <c r="F13" s="3" t="s">
        <v>36</v>
      </c>
      <c r="G13" s="3">
        <v>60</v>
      </c>
      <c r="H13" s="3" t="s">
        <v>33</v>
      </c>
      <c r="I13" s="3" t="s">
        <v>19</v>
      </c>
      <c r="J13" s="4" t="s">
        <v>37</v>
      </c>
      <c r="K13" s="3" t="s">
        <v>21</v>
      </c>
      <c r="L13" s="4">
        <f t="shared" si="1"/>
        <v>0.52430555555555558</v>
      </c>
      <c r="M13" s="3" t="str">
        <f t="shared" si="2"/>
        <v>Within Budget</v>
      </c>
      <c r="N13" s="3" t="str">
        <f t="shared" si="0"/>
        <v>YES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Logical_Task_1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Krunal Rohankar</cp:lastModifiedBy>
  <dcterms:created xsi:type="dcterms:W3CDTF">2026-03-14T15:03:06Z</dcterms:created>
  <dcterms:modified xsi:type="dcterms:W3CDTF">2026-03-15T14:33:02Z</dcterms:modified>
</cp:coreProperties>
</file>